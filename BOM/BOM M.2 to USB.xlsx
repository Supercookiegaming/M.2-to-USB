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M.2-to-USB\BOM\"/>
    </mc:Choice>
  </mc:AlternateContent>
  <xr:revisionPtr revIDLastSave="0" documentId="13_ncr:1_{C1B2AAAA-5E22-4510-AC98-A8738DECE35A}" xr6:coauthVersionLast="47" xr6:coauthVersionMax="47" xr10:uidLastSave="{00000000-0000-0000-0000-000000000000}"/>
  <bookViews>
    <workbookView xWindow="-120" yWindow="-120" windowWidth="29040" windowHeight="15840" xr2:uid="{72E65254-183C-4DDD-8476-BAAC512B5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 s="1"/>
  <c r="F20" i="1"/>
  <c r="G20" i="1" s="1"/>
  <c r="F19" i="1" l="1"/>
  <c r="G19" i="1" s="1"/>
  <c r="F7" i="1"/>
  <c r="G7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6" i="1"/>
  <c r="G6" i="1" s="1"/>
  <c r="F5" i="1"/>
  <c r="G5" i="1" s="1"/>
  <c r="B2" i="1" l="1"/>
</calcChain>
</file>

<file path=xl/sharedStrings.xml><?xml version="1.0" encoding="utf-8"?>
<sst xmlns="http://schemas.openxmlformats.org/spreadsheetml/2006/main" count="78" uniqueCount="76">
  <si>
    <t>Board QTY</t>
  </si>
  <si>
    <t>Total Price</t>
  </si>
  <si>
    <t>Board Designator</t>
  </si>
  <si>
    <t>Part Number</t>
  </si>
  <si>
    <t>Part Purpose</t>
  </si>
  <si>
    <t>QTY per Board</t>
  </si>
  <si>
    <t>Unit Price</t>
  </si>
  <si>
    <t>QTY Needed</t>
  </si>
  <si>
    <t>Link</t>
  </si>
  <si>
    <t>L1</t>
  </si>
  <si>
    <t>U1</t>
  </si>
  <si>
    <t>R1</t>
  </si>
  <si>
    <t>C12</t>
  </si>
  <si>
    <t>J2</t>
  </si>
  <si>
    <t>U2</t>
  </si>
  <si>
    <t>U3</t>
  </si>
  <si>
    <t>U4</t>
  </si>
  <si>
    <t>Y1</t>
  </si>
  <si>
    <t>R2, R3, R5, R6</t>
  </si>
  <si>
    <t>R4</t>
  </si>
  <si>
    <t>C1, C4, C5, C6, C7, C10, C16</t>
  </si>
  <si>
    <t>C2, C3, C13, C15</t>
  </si>
  <si>
    <t>C8, C9</t>
  </si>
  <si>
    <t>C11</t>
  </si>
  <si>
    <t>C14</t>
  </si>
  <si>
    <t>C17</t>
  </si>
  <si>
    <t>12kΩ Bias Resistor</t>
  </si>
  <si>
    <t>10kΩ Pull Up/Down Resistor</t>
  </si>
  <si>
    <t>1MΩ Power Good Pull Up Resistor</t>
  </si>
  <si>
    <t>0.1uF Decoupling Caps</t>
  </si>
  <si>
    <t>1uF Decoupling Caps</t>
  </si>
  <si>
    <t>68uF VBUS Bulk Capacitors</t>
  </si>
  <si>
    <t>10uF Decoupling Cap</t>
  </si>
  <si>
    <t>4.7uF Input Cap for Boost Regtulator</t>
  </si>
  <si>
    <t>22uF Output Cap for Boost Regulator</t>
  </si>
  <si>
    <t>10nF Decoupling Cap for Clock Chip</t>
  </si>
  <si>
    <t>24Mhz Clock Generator</t>
  </si>
  <si>
    <t>USB Hub</t>
  </si>
  <si>
    <t>USB VBUS Current Limiter</t>
  </si>
  <si>
    <t>5V Boost Converter</t>
  </si>
  <si>
    <t>PG Signal Inverter</t>
  </si>
  <si>
    <t>Internal USB 2.0 Header</t>
  </si>
  <si>
    <t>https://www.digikey.com/en/products/detail/yic/OSC24M-3-3I-S3/13980836</t>
  </si>
  <si>
    <t>OSC24M-3.3I/S3</t>
  </si>
  <si>
    <t>MIC2876-5.0YMT-TR</t>
  </si>
  <si>
    <t>https://www.digikey.com/en/products/detail/microchip-technology/MIC2876-5-0YMT-TR/5283840</t>
  </si>
  <si>
    <t>1uH Boost Converter Inductor</t>
  </si>
  <si>
    <t>WIP252012S-1R0MLDG</t>
  </si>
  <si>
    <t>https://www.digikey.com/en/products/detail/inpaq-technology-co-ltd/WIP252012S-1R0MLDG/20486665</t>
  </si>
  <si>
    <t>https://www.digikey.com/en/products/detail/microchip-technology/USB2422-MJ/4080182</t>
  </si>
  <si>
    <t>USB2422/MJ</t>
  </si>
  <si>
    <t>AP2152SG-13</t>
  </si>
  <si>
    <t>https://www.digikey.com/en/products/detail/diodes-incorporated/AP2152SG-13/1964656?s=N4IgTCBcDaIIYAcwEYCsYDOBzAtMgzCALoC%2BQA</t>
  </si>
  <si>
    <t>SN74LVC1G14DBVR</t>
  </si>
  <si>
    <t>https://www.digikey.com/en/products/detail/texas-instruments/SN74LVC1G14DBVR/385724</t>
  </si>
  <si>
    <t>RC0402FR-0712KL</t>
  </si>
  <si>
    <t>https://www.digikey.com/en/products/detail/yageo/RC0402FR-0712KL/726532</t>
  </si>
  <si>
    <t>https://www.digikey.com/en/products/detail/yageo/RC0402JR-0710KL/726418</t>
  </si>
  <si>
    <t>https://www.digikey.com/en/products/detail/walsin-technology-corporation/WR04X1004FTL/13238740</t>
  </si>
  <si>
    <t>WR04X1004FTL</t>
  </si>
  <si>
    <t>https://www.digikey.com/en/products/detail/walsin-technology-corporation/0402B103K6R3CT/9354671</t>
  </si>
  <si>
    <t>0402B103K6R3CT</t>
  </si>
  <si>
    <t>https://www.digikey.com/en/products/detail/samsung-electro-mechanics/CL21A226MQQNNNG/3894436</t>
  </si>
  <si>
    <t>CL21A226MQQNNNG</t>
  </si>
  <si>
    <t>https://www.digikey.com/en/products/detail/samsung-electro-mechanics/CL05A475KQ5NRNC/3887139</t>
  </si>
  <si>
    <t>CL05A475KQ5NRNC</t>
  </si>
  <si>
    <t>https://www.digikey.com/en/products/detail/murata-electronics/GRM155R61A106ME11D/12091056</t>
  </si>
  <si>
    <t>GRM155R61A106ME11D</t>
  </si>
  <si>
    <t>https://www.digikey.com/en/products/detail/tdk-corporation/C3216X5R0J686M160AB/3951907</t>
  </si>
  <si>
    <t>C3216X5R0J686M160AB</t>
  </si>
  <si>
    <t>https://www.digikey.com/en/products/detail/kemet/C0402C105K9PACTU/1090778</t>
  </si>
  <si>
    <t>C0402C105K9PACTU</t>
  </si>
  <si>
    <t>https://www.digikey.com/en/products/detail/samsung-electro-mechanics/CL05A104KP5NNNC/3886680</t>
  </si>
  <si>
    <t>CL05A104KP5NNNC</t>
  </si>
  <si>
    <t>https://www.digikey.com/en/products/detail/samtec-inc/HTSW-105-07-T-D-009/8069824</t>
  </si>
  <si>
    <t>HTSW-105-07-T-D-009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</si>
</sst>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111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402JR-0710KL/726418" TargetMode="External"/><Relationship Id="rId13" Type="http://schemas.openxmlformats.org/officeDocument/2006/relationships/hyperlink" Target="https://www.digikey.com/en/products/detail/murata-electronics/GRM155R61A106ME11D/12091056" TargetMode="External"/><Relationship Id="rId3" Type="http://schemas.openxmlformats.org/officeDocument/2006/relationships/hyperlink" Target="https://www.digikey.com/en/products/detail/inpaq-technology-co-ltd/WIP252012S-1R0MLDG/20486665" TargetMode="External"/><Relationship Id="rId7" Type="http://schemas.openxmlformats.org/officeDocument/2006/relationships/hyperlink" Target="https://www.digikey.com/en/products/detail/yageo/RC0402FR-0712KL/726532" TargetMode="External"/><Relationship Id="rId12" Type="http://schemas.openxmlformats.org/officeDocument/2006/relationships/hyperlink" Target="https://www.digikey.com/en/products/detail/samsung-electro-mechanics/CL05A475KQ5NRNC/3887139" TargetMode="External"/><Relationship Id="rId17" Type="http://schemas.openxmlformats.org/officeDocument/2006/relationships/hyperlink" Target="https://www.digikey.com/en/products/detail/samtec-inc/HTSW-105-07-T-D-009/8069824" TargetMode="External"/><Relationship Id="rId2" Type="http://schemas.openxmlformats.org/officeDocument/2006/relationships/hyperlink" Target="https://www.digikey.com/en/products/detail/microchip-technology/MIC2876-5-0YMT-TR/5283840" TargetMode="External"/><Relationship Id="rId16" Type="http://schemas.openxmlformats.org/officeDocument/2006/relationships/hyperlink" Target="https://www.digikey.com/en/products/detail/samsung-electro-mechanics/CL05A104KP5NNNC/3886680" TargetMode="External"/><Relationship Id="rId1" Type="http://schemas.openxmlformats.org/officeDocument/2006/relationships/hyperlink" Target="https://www.digikey.com/en/products/detail/yic/OSC24M-3-3I-S3/13980836" TargetMode="External"/><Relationship Id="rId6" Type="http://schemas.openxmlformats.org/officeDocument/2006/relationships/hyperlink" Target="https://www.digikey.com/en/products/detail/texas-instruments/SN74LVC1G14DBVR/385724" TargetMode="External"/><Relationship Id="rId11" Type="http://schemas.openxmlformats.org/officeDocument/2006/relationships/hyperlink" Target="https://www.digikey.com/en/products/detail/samsung-electro-mechanics/CL21A226MQQNNNG/3894436" TargetMode="External"/><Relationship Id="rId5" Type="http://schemas.openxmlformats.org/officeDocument/2006/relationships/hyperlink" Target="https://www.digikey.com/en/products/detail/diodes-incorporated/AP2152SG-13/1964656?s=N4IgTCBcDaIIYAcwEYCsYDOBzAtMgzCALoC%2BQA" TargetMode="External"/><Relationship Id="rId15" Type="http://schemas.openxmlformats.org/officeDocument/2006/relationships/hyperlink" Target="https://www.digikey.com/en/products/detail/kemet/C0402C105K9PACTU/1090778" TargetMode="External"/><Relationship Id="rId10" Type="http://schemas.openxmlformats.org/officeDocument/2006/relationships/hyperlink" Target="https://www.digikey.com/en/products/detail/walsin-technology-corporation/0402B103K6R3CT/9354671" TargetMode="External"/><Relationship Id="rId4" Type="http://schemas.openxmlformats.org/officeDocument/2006/relationships/hyperlink" Target="https://www.digikey.com/en/products/detail/microchip-technology/USB2422-MJ/4080182" TargetMode="External"/><Relationship Id="rId9" Type="http://schemas.openxmlformats.org/officeDocument/2006/relationships/hyperlink" Target="https://www.digikey.com/en/products/detail/walsin-technology-corporation/WR04X1004FTL/13238740" TargetMode="External"/><Relationship Id="rId14" Type="http://schemas.openxmlformats.org/officeDocument/2006/relationships/hyperlink" Target="https://www.digikey.com/en/products/detail/tdk-corporation/C3216X5R0J686M160AB/3951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5517-D209-45DF-AD87-C54C46028F41}">
  <dimension ref="A1:H21"/>
  <sheetViews>
    <sheetView tabSelected="1" zoomScale="114" workbookViewId="0">
      <selection activeCell="H26" sqref="H26"/>
    </sheetView>
  </sheetViews>
  <sheetFormatPr defaultRowHeight="15" x14ac:dyDescent="0.25"/>
  <cols>
    <col min="1" max="1" width="28.140625" customWidth="1"/>
    <col min="2" max="2" width="24" customWidth="1"/>
    <col min="3" max="3" width="32.5703125" customWidth="1"/>
    <col min="4" max="4" width="14.85546875" customWidth="1"/>
    <col min="5" max="5" width="9.85546875" customWidth="1"/>
    <col min="6" max="6" width="14.42578125" customWidth="1"/>
    <col min="7" max="7" width="11" customWidth="1"/>
    <col min="8" max="8" width="255.7109375" bestFit="1" customWidth="1"/>
  </cols>
  <sheetData>
    <row r="1" spans="1:8" x14ac:dyDescent="0.25">
      <c r="A1" s="1" t="s">
        <v>0</v>
      </c>
      <c r="B1" s="1">
        <v>1</v>
      </c>
    </row>
    <row r="2" spans="1:8" x14ac:dyDescent="0.25">
      <c r="A2" s="1" t="s">
        <v>1</v>
      </c>
      <c r="B2" s="1">
        <f>SUM(G5:G29)</f>
        <v>8.0399999999999991</v>
      </c>
    </row>
    <row r="4" spans="1:8" x14ac:dyDescent="0.25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1</v>
      </c>
      <c r="H4" s="1" t="s">
        <v>8</v>
      </c>
    </row>
    <row r="5" spans="1:8" x14ac:dyDescent="0.25">
      <c r="A5" s="3" t="s">
        <v>10</v>
      </c>
      <c r="B5" s="3" t="s">
        <v>50</v>
      </c>
      <c r="C5" s="2" t="s">
        <v>37</v>
      </c>
      <c r="D5" s="3">
        <v>1</v>
      </c>
      <c r="E5" s="3">
        <v>1.49</v>
      </c>
      <c r="F5" s="3">
        <f>$B$1*D5</f>
        <v>1</v>
      </c>
      <c r="G5" s="3">
        <f>F5*E5</f>
        <v>1.49</v>
      </c>
      <c r="H5" s="11" t="s">
        <v>49</v>
      </c>
    </row>
    <row r="6" spans="1:8" ht="18.600000000000001" customHeight="1" x14ac:dyDescent="0.25">
      <c r="A6" s="3" t="s">
        <v>14</v>
      </c>
      <c r="B6" s="4" t="s">
        <v>51</v>
      </c>
      <c r="C6" s="2" t="s">
        <v>38</v>
      </c>
      <c r="D6" s="3">
        <v>1</v>
      </c>
      <c r="E6" s="3">
        <v>0.39</v>
      </c>
      <c r="F6" s="3">
        <f>$B$1*D6</f>
        <v>1</v>
      </c>
      <c r="G6" s="3">
        <f>F6*E6</f>
        <v>0.39</v>
      </c>
      <c r="H6" s="11" t="s">
        <v>52</v>
      </c>
    </row>
    <row r="7" spans="1:8" ht="18.600000000000001" customHeight="1" x14ac:dyDescent="0.25">
      <c r="A7" s="3" t="s">
        <v>15</v>
      </c>
      <c r="B7" s="4" t="s">
        <v>44</v>
      </c>
      <c r="C7" s="2" t="s">
        <v>39</v>
      </c>
      <c r="D7" s="3">
        <v>1</v>
      </c>
      <c r="E7" s="3">
        <v>0.62</v>
      </c>
      <c r="F7" s="3">
        <f>$B$1*D7</f>
        <v>1</v>
      </c>
      <c r="G7" s="3">
        <f>F7*E7</f>
        <v>0.62</v>
      </c>
      <c r="H7" s="11" t="s">
        <v>45</v>
      </c>
    </row>
    <row r="8" spans="1:8" x14ac:dyDescent="0.25">
      <c r="A8" s="6" t="s">
        <v>16</v>
      </c>
      <c r="B8" s="6" t="s">
        <v>53</v>
      </c>
      <c r="C8" s="9" t="s">
        <v>40</v>
      </c>
      <c r="D8" s="6">
        <v>1</v>
      </c>
      <c r="E8" s="6">
        <v>0.11</v>
      </c>
      <c r="F8" s="6">
        <f t="shared" ref="F8:F21" si="0">$B$1*D8</f>
        <v>1</v>
      </c>
      <c r="G8" s="6">
        <f t="shared" ref="G8:G21" si="1">F8*E8</f>
        <v>0.11</v>
      </c>
      <c r="H8" s="12" t="s">
        <v>54</v>
      </c>
    </row>
    <row r="9" spans="1:8" x14ac:dyDescent="0.25">
      <c r="A9" s="3" t="s">
        <v>17</v>
      </c>
      <c r="B9" s="3" t="s">
        <v>43</v>
      </c>
      <c r="C9" s="2" t="s">
        <v>36</v>
      </c>
      <c r="D9" s="3">
        <v>1</v>
      </c>
      <c r="E9" s="3">
        <v>0.73</v>
      </c>
      <c r="F9" s="3">
        <f t="shared" si="0"/>
        <v>1</v>
      </c>
      <c r="G9" s="3">
        <f t="shared" si="1"/>
        <v>0.73</v>
      </c>
      <c r="H9" s="11" t="s">
        <v>42</v>
      </c>
    </row>
    <row r="10" spans="1:8" x14ac:dyDescent="0.25">
      <c r="A10" s="3" t="s">
        <v>13</v>
      </c>
      <c r="B10" s="3" t="s">
        <v>75</v>
      </c>
      <c r="C10" s="2" t="s">
        <v>41</v>
      </c>
      <c r="D10" s="3">
        <v>1</v>
      </c>
      <c r="E10" s="3">
        <v>0.96</v>
      </c>
      <c r="F10" s="3">
        <f t="shared" si="0"/>
        <v>1</v>
      </c>
      <c r="G10" s="3">
        <f t="shared" si="1"/>
        <v>0.96</v>
      </c>
      <c r="H10" s="11" t="s">
        <v>74</v>
      </c>
    </row>
    <row r="11" spans="1:8" x14ac:dyDescent="0.25">
      <c r="A11" s="3" t="s">
        <v>11</v>
      </c>
      <c r="B11" s="3" t="s">
        <v>55</v>
      </c>
      <c r="C11" s="2" t="s">
        <v>26</v>
      </c>
      <c r="D11" s="3">
        <v>1</v>
      </c>
      <c r="E11" s="3">
        <v>0.1</v>
      </c>
      <c r="F11" s="3">
        <f t="shared" si="0"/>
        <v>1</v>
      </c>
      <c r="G11" s="3">
        <f t="shared" si="1"/>
        <v>0.1</v>
      </c>
      <c r="H11" s="11" t="s">
        <v>56</v>
      </c>
    </row>
    <row r="12" spans="1:8" x14ac:dyDescent="0.25">
      <c r="A12" s="3" t="s">
        <v>18</v>
      </c>
      <c r="B12" s="3" t="s">
        <v>55</v>
      </c>
      <c r="C12" s="2" t="s">
        <v>27</v>
      </c>
      <c r="D12" s="3">
        <v>4</v>
      </c>
      <c r="E12" s="3">
        <v>0.1</v>
      </c>
      <c r="F12" s="3">
        <f t="shared" si="0"/>
        <v>4</v>
      </c>
      <c r="G12" s="3">
        <f t="shared" si="1"/>
        <v>0.4</v>
      </c>
      <c r="H12" s="11" t="s">
        <v>57</v>
      </c>
    </row>
    <row r="13" spans="1:8" x14ac:dyDescent="0.25">
      <c r="A13" s="3" t="s">
        <v>19</v>
      </c>
      <c r="B13" s="3" t="s">
        <v>59</v>
      </c>
      <c r="C13" s="2" t="s">
        <v>28</v>
      </c>
      <c r="D13" s="3">
        <v>1</v>
      </c>
      <c r="E13" s="3">
        <v>0.1</v>
      </c>
      <c r="F13" s="3">
        <f t="shared" si="0"/>
        <v>1</v>
      </c>
      <c r="G13" s="3">
        <f t="shared" si="1"/>
        <v>0.1</v>
      </c>
      <c r="H13" s="11" t="s">
        <v>58</v>
      </c>
    </row>
    <row r="14" spans="1:8" x14ac:dyDescent="0.25">
      <c r="A14" s="3" t="s">
        <v>20</v>
      </c>
      <c r="B14" s="3" t="s">
        <v>73</v>
      </c>
      <c r="C14" s="2" t="s">
        <v>29</v>
      </c>
      <c r="D14" s="3">
        <v>7</v>
      </c>
      <c r="E14" s="3">
        <v>0.08</v>
      </c>
      <c r="F14" s="3">
        <f t="shared" si="0"/>
        <v>7</v>
      </c>
      <c r="G14" s="3">
        <f t="shared" si="1"/>
        <v>0.56000000000000005</v>
      </c>
      <c r="H14" s="11" t="s">
        <v>72</v>
      </c>
    </row>
    <row r="15" spans="1:8" x14ac:dyDescent="0.25">
      <c r="A15" s="3" t="s">
        <v>21</v>
      </c>
      <c r="B15" s="3" t="s">
        <v>71</v>
      </c>
      <c r="C15" s="2" t="s">
        <v>30</v>
      </c>
      <c r="D15" s="3">
        <v>4</v>
      </c>
      <c r="E15" s="3">
        <v>0.08</v>
      </c>
      <c r="F15" s="3">
        <f t="shared" si="0"/>
        <v>4</v>
      </c>
      <c r="G15" s="3">
        <f t="shared" si="1"/>
        <v>0.32</v>
      </c>
      <c r="H15" s="11" t="s">
        <v>70</v>
      </c>
    </row>
    <row r="16" spans="1:8" x14ac:dyDescent="0.25">
      <c r="A16" s="5" t="s">
        <v>22</v>
      </c>
      <c r="B16" s="5" t="s">
        <v>69</v>
      </c>
      <c r="C16" s="8" t="s">
        <v>31</v>
      </c>
      <c r="D16" s="5">
        <v>2</v>
      </c>
      <c r="E16" s="5">
        <v>0.89</v>
      </c>
      <c r="F16" s="5">
        <f t="shared" si="0"/>
        <v>2</v>
      </c>
      <c r="G16" s="3">
        <f t="shared" si="1"/>
        <v>1.78</v>
      </c>
      <c r="H16" s="13" t="s">
        <v>68</v>
      </c>
    </row>
    <row r="17" spans="1:8" x14ac:dyDescent="0.25">
      <c r="A17" s="5" t="s">
        <v>23</v>
      </c>
      <c r="B17" s="5" t="s">
        <v>67</v>
      </c>
      <c r="C17" s="8" t="s">
        <v>32</v>
      </c>
      <c r="D17" s="5">
        <v>1</v>
      </c>
      <c r="E17" s="5">
        <v>0.08</v>
      </c>
      <c r="F17" s="5">
        <f t="shared" si="0"/>
        <v>1</v>
      </c>
      <c r="G17" s="5">
        <f t="shared" si="1"/>
        <v>0.08</v>
      </c>
      <c r="H17" s="13" t="s">
        <v>66</v>
      </c>
    </row>
    <row r="18" spans="1:8" x14ac:dyDescent="0.25">
      <c r="A18" s="3" t="s">
        <v>12</v>
      </c>
      <c r="B18" s="3" t="s">
        <v>65</v>
      </c>
      <c r="C18" s="2" t="s">
        <v>33</v>
      </c>
      <c r="D18" s="3">
        <v>1</v>
      </c>
      <c r="E18" s="3">
        <v>0.08</v>
      </c>
      <c r="F18" s="3">
        <f t="shared" si="0"/>
        <v>1</v>
      </c>
      <c r="G18" s="3">
        <f t="shared" si="1"/>
        <v>0.08</v>
      </c>
      <c r="H18" s="11" t="s">
        <v>64</v>
      </c>
    </row>
    <row r="19" spans="1:8" x14ac:dyDescent="0.25">
      <c r="A19" s="3" t="s">
        <v>24</v>
      </c>
      <c r="B19" s="3" t="s">
        <v>63</v>
      </c>
      <c r="C19" s="2" t="s">
        <v>34</v>
      </c>
      <c r="D19" s="3">
        <v>1</v>
      </c>
      <c r="E19" s="3">
        <v>0.12</v>
      </c>
      <c r="F19" s="3">
        <f t="shared" si="0"/>
        <v>1</v>
      </c>
      <c r="G19" s="3">
        <f t="shared" si="1"/>
        <v>0.12</v>
      </c>
      <c r="H19" s="11" t="s">
        <v>62</v>
      </c>
    </row>
    <row r="20" spans="1:8" x14ac:dyDescent="0.25">
      <c r="A20" s="7" t="s">
        <v>25</v>
      </c>
      <c r="B20" s="3" t="s">
        <v>61</v>
      </c>
      <c r="C20" s="2" t="s">
        <v>35</v>
      </c>
      <c r="D20" s="2">
        <v>1</v>
      </c>
      <c r="E20" s="3">
        <v>0.1</v>
      </c>
      <c r="F20" s="3">
        <f t="shared" si="0"/>
        <v>1</v>
      </c>
      <c r="G20" s="3">
        <f t="shared" si="1"/>
        <v>0.1</v>
      </c>
      <c r="H20" s="11" t="s">
        <v>60</v>
      </c>
    </row>
    <row r="21" spans="1:8" x14ac:dyDescent="0.25">
      <c r="A21" s="10" t="s">
        <v>9</v>
      </c>
      <c r="B21" s="2" t="s">
        <v>47</v>
      </c>
      <c r="C21" s="2" t="s">
        <v>46</v>
      </c>
      <c r="D21" s="2">
        <v>1</v>
      </c>
      <c r="E21" s="2">
        <v>0.1</v>
      </c>
      <c r="F21" s="2">
        <f t="shared" si="0"/>
        <v>1</v>
      </c>
      <c r="G21" s="2">
        <f t="shared" si="1"/>
        <v>0.1</v>
      </c>
      <c r="H21" s="14" t="s">
        <v>48</v>
      </c>
    </row>
  </sheetData>
  <hyperlinks>
    <hyperlink ref="H9" r:id="rId1" xr:uid="{5B6DA776-E24D-4467-A05A-E06A69B53E0F}"/>
    <hyperlink ref="H7" r:id="rId2" xr:uid="{1C0D888E-F878-4F60-AE2C-2BEEE989FD4E}"/>
    <hyperlink ref="H21" r:id="rId3" xr:uid="{9ABC244A-C556-4F04-B17C-7CCE3D529474}"/>
    <hyperlink ref="H5" r:id="rId4" xr:uid="{B7C85732-E942-4743-971E-F5189688B75F}"/>
    <hyperlink ref="H6" r:id="rId5" xr:uid="{F95AF780-CBA2-4BFE-BEAE-A47610A7C05A}"/>
    <hyperlink ref="H8" r:id="rId6" xr:uid="{EDC18100-99DA-4721-92E0-FDB051EA0561}"/>
    <hyperlink ref="H11" r:id="rId7" xr:uid="{5DE57B58-DC0B-4549-BC24-2E15CEC1053A}"/>
    <hyperlink ref="H12" r:id="rId8" xr:uid="{75FA6881-2112-4CB6-BEAC-2FB000661B9C}"/>
    <hyperlink ref="H13" r:id="rId9" xr:uid="{0939F080-9534-47FC-B7A3-8725F4B6FCF6}"/>
    <hyperlink ref="H20" r:id="rId10" xr:uid="{C161F628-52C9-4F22-AE1E-057A54610369}"/>
    <hyperlink ref="H19" r:id="rId11" xr:uid="{E90D539E-E796-4FDC-BB5C-0C1A55AF969F}"/>
    <hyperlink ref="H18" r:id="rId12" xr:uid="{EDB618CA-8E5E-4F28-BE60-2D8BD5D1B71C}"/>
    <hyperlink ref="H17" r:id="rId13" xr:uid="{B4201711-247F-496C-81D1-4F904E9BF6A7}"/>
    <hyperlink ref="H16" r:id="rId14" xr:uid="{8BAAED75-2B3A-4D9C-9964-7261AE53AFC7}"/>
    <hyperlink ref="H15" r:id="rId15" xr:uid="{702B2074-6245-41C3-BDB9-06B24C39FD3B}"/>
    <hyperlink ref="H14" r:id="rId16" xr:uid="{42C602CA-902B-49D5-831C-21C39C4DACB2}"/>
    <hyperlink ref="H10" r:id="rId17" xr:uid="{AB21A171-6B6C-4B29-BB02-2667F3AAAA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Diakatos, Athena Enheduanna</dc:creator>
  <cp:lastModifiedBy>Diakatos, Athena Enheduanna</cp:lastModifiedBy>
  <dcterms:created xsi:type="dcterms:W3CDTF">2025-04-17T16:27:19Z</dcterms:created>
  <dcterms:modified xsi:type="dcterms:W3CDTF">2025-08-06T04:04:26Z</dcterms:modified>
</cp:coreProperties>
</file>